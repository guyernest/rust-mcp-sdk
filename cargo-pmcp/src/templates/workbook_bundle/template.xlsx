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<sst xmlns="http://schemas.openxmlformats.org/spreadsheetml/2006/main" count="36" uniqueCount="27">
  <si>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server</t>
  </si>
  <si>
    <t>tax-suite</t>
  </si>
  <si>
    <t>version</t>
  </si>
  <si>
    <t>bracket</t>
  </si>
  <si>
    <t>rate</t>
  </si>
  <si>
    <t>name</t>
  </si>
  <si>
    <t>value</t>
  </si>
  <si>
    <t>description</t>
  </si>
  <si>
    <t>tier</t>
  </si>
  <si>
    <t>income</t>
  </si>
  <si>
    <t>annual gross (USD $)</t>
  </si>
  <si>
    <t>variable</t>
  </si>
  <si>
    <t>filing</t>
  </si>
  <si>
    <t>single</t>
  </si>
  <si>
    <t>filing status</t>
  </si>
  <si>
    <t>withheld</t>
  </si>
  <si>
    <t>tax withheld YTD (USD)</t>
  </si>
  <si>
    <t>statutory bracket rate</t>
  </si>
  <si>
    <t>strict</t>
  </si>
  <si>
    <t>Compute federal tax from income &amp; filing</t>
  </si>
  <si>
    <t>tax_owed</t>
  </si>
  <si>
    <t>federal tax liability (USD)</t>
  </si>
  <si>
    <t>effective_rate</t>
  </si>
  <si>
    <t>effective tax rate (%)</t>
  </si>
  <si>
    <t>Estimate refund given withholding</t>
  </si>
  <si>
    <t>refund</t>
  </si>
  <si>
    <t>estimated refund (neg = owed)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</si>
</sst>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puts" displayName="Inputs" ref="A3:D7" totalsRowShown="0">
  <autoFilter ref="A3:D7"/>
  <tableColumns count="4">
    <tableColumn id="1" name="name"/>
    <tableColumn id="2" name="value"/>
    <tableColumn id="3" name="description"/>
    <tableColumn id="4" name="ti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alculate_Tax" displayName="Calculate_Tax" ref="A10:C12" totalsRowShown="0">
  <autoFilter ref="A10:C12"/>
  <tableColumns count="3">
    <tableColumn id="1" name="name"/>
    <tableColumn id="2" name="value"/>
    <tableColumn id="3" name="descrip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Estimate_Refund" displayName="Estimate_Refund" ref="A16:C17" totalsRowShown="0">
  <autoFilter ref="A16:C17"/>
  <tableColumns count="3">
    <tableColumn id="1" name="name"/>
    <tableColumn id="2" name="value"/>
    <tableColumn id="3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>
        <v>1</v>
      </c>
      <c r="F1" t="s">
        <v>3</v>
      </c>
      <c r="G1" t="s">
        <v>4</v>
      </c>
    </row>
    <row r="2" spans="1:7">
      <c r="F2" s="3">
        <v>0</v>
      </c>
      <c r="G2" s="2">
        <v>0.1</v>
      </c>
    </row>
    <row r="3" spans="1:7">
      <c r="A3" t="s">
        <v>5</v>
      </c>
      <c r="B3" t="s">
        <v>6</v>
      </c>
      <c r="C3" t="s">
        <v>7</v>
      </c>
      <c r="D3" t="s">
        <v>8</v>
      </c>
      <c r="F3" s="3">
        <v>40000</v>
      </c>
      <c r="G3" s="2">
        <v>0.22</v>
      </c>
    </row>
    <row r="4" spans="1:7">
      <c r="A4" t="s">
        <v>9</v>
      </c>
      <c r="B4" s="1">
        <v>100000</v>
      </c>
      <c r="C4" t="s">
        <v>10</v>
      </c>
      <c r="D4" t="s">
        <v>11</v>
      </c>
    </row>
    <row r="5" spans="1:7">
      <c r="A5" t="s">
        <v>12</v>
      </c>
      <c r="B5" t="s">
        <v>13</v>
      </c>
      <c r="C5" t="s">
        <v>14</v>
      </c>
      <c r="D5" t="s">
        <v>11</v>
      </c>
    </row>
    <row r="6" spans="1:7">
      <c r="A6" t="s">
        <v>15</v>
      </c>
      <c r="B6" s="1">
        <v>15000</v>
      </c>
      <c r="C6" t="s">
        <v>16</v>
      </c>
      <c r="D6" t="s">
        <v>11</v>
      </c>
    </row>
    <row r="7" spans="1:7">
      <c r="A7" t="s">
        <v>4</v>
      </c>
      <c r="B7" s="2">
        <v>0.22</v>
      </c>
      <c r="C7" t="s">
        <v>17</v>
      </c>
      <c r="D7" t="s">
        <v>18</v>
      </c>
    </row>
    <row r="9" spans="1:7">
      <c r="A9" t="s">
        <v>19</v>
      </c>
    </row>
    <row r="10" spans="1:7">
      <c r="A10" t="s">
        <v>5</v>
      </c>
      <c r="B10" t="s">
        <v>6</v>
      </c>
      <c r="C10" t="s">
        <v>7</v>
      </c>
    </row>
    <row r="11" spans="1:7">
      <c r="A11" t="s">
        <v>20</v>
      </c>
      <c r="B11">
        <f>ROUND(B4*G3-1759,0)</f>
        <v>18241</v>
      </c>
      <c r="C11" t="s">
        <v>21</v>
      </c>
    </row>
    <row r="12" spans="1:7">
      <c r="A12" t="s">
        <v>22</v>
      </c>
      <c r="B12">
        <f>ROUND(B11/B4,3)</f>
        <v>0.182</v>
      </c>
      <c r="C12" t="s">
        <v>23</v>
      </c>
    </row>
    <row r="15" spans="1:7">
      <c r="A15" t="s">
        <v>24</v>
      </c>
    </row>
    <row r="16" spans="1:7">
      <c r="A16" t="s">
        <v>5</v>
      </c>
      <c r="B16" t="s">
        <v>6</v>
      </c>
      <c r="C16" t="s">
        <v>7</v>
      </c>
    </row>
    <row r="17" spans="1:3">
      <c r="A17" t="s">
        <v>25</v>
      </c>
      <c r="B17">
        <f>ROUND(B6-B11,0)</f>
        <v>-3241</v>
      </c>
      <c r="C17" t="s">
        <v>26</v>
      </c>
    </row>
  </sheetData>
  <dataValidations count="2">
    <dataValidation type="list" allowBlank="1" showInputMessage="1" showErrorMessage="1" sqref="B5">
      <formula1>"single,married"</formula1>
    </dataValidation>
    <dataValidation type="list" allowBlank="1" showInputMessage="1" showErrorMessage="1" sqref="D4:D7">
      <formula1>"variable,strict"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
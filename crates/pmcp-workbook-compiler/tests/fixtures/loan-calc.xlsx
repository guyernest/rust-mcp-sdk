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" sheetId="1" r:id="rId1"/>
  </sheets>
  <definedNames>
    <definedName name="in_credit_score">'Loan'!$A$4</definedName>
    <definedName name="in_loan_amount">'Loan'!$A$2</definedName>
    <definedName name="in_term_months">'Loan'!$A$3</definedName>
    <definedName name="out_applied_rate">'Loan'!$B$3</definedName>
    <definedName name="out_credit_tier">'Loan'!$B$2</definedName>
    <definedName name="out_monthly_interest">'Loan'!$B$5</definedName>
    <definedName name="out_tier_rate">'Loan'!$B$8</definedName>
    <definedName name="out_total_interest">'Loan'!$B$6</definedName>
    <definedName name="pmcp_dialect_version">'Loan'!$A$10</definedName>
  </definedNames>
  <calcPr calcId="124519" fullCalcOnLoad="1"/>
</workbook>
</file>

<file path=xl/sharedStrings.xml><?xml version="1.0" encoding="utf-8"?>
<sst xmlns="http://schemas.openxmlformats.org/spreadsheetml/2006/main" count="4" uniqueCount="4">
  <si>
    <t>Loan rate-tier calculator (synthetic)</t>
  </si>
  <si>
    <t>tier</t>
  </si>
  <si>
    <t>rate</t>
  </si>
  <si>
    <t>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</si>
</sst>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C1" t="s">
        <v>1</v>
      </c>
      <c r="D1" t="s">
        <v>2</v>
      </c>
    </row>
    <row r="2" spans="1:5">
      <c r="A2" s="1">
        <v>240000</v>
      </c>
      <c r="B2">
        <f>IF(A4&gt;=740,3,IF(A4&gt;=680,2,1))</f>
        <v>2</v>
      </c>
      <c r="D2" s="2">
        <v>1</v>
      </c>
      <c r="E2" s="2">
        <v>0.08</v>
      </c>
    </row>
    <row r="3" spans="1:5">
      <c r="A3" s="1">
        <v>360</v>
      </c>
      <c r="B3">
        <f>IFERROR(VLOOKUP(B2,D2:E4,2,FALSE),0.08)</f>
        <v>0.06</v>
      </c>
      <c r="D3" s="2">
        <v>2</v>
      </c>
      <c r="E3" s="2">
        <v>0.06</v>
      </c>
    </row>
    <row r="4" spans="1:5">
      <c r="A4" s="1">
        <v>700</v>
      </c>
      <c r="B4">
        <f>ROUND(B3/12,6)</f>
        <v>0.005</v>
      </c>
      <c r="D4" s="2">
        <v>3</v>
      </c>
      <c r="E4" s="2">
        <v>0.045</v>
      </c>
    </row>
    <row r="5" spans="1:5">
      <c r="B5">
        <f>ROUND(A2*B4,2)</f>
        <v>1200</v>
      </c>
    </row>
    <row r="6" spans="1:5">
      <c r="B6">
        <f>CEILING(B5*A3,1)</f>
        <v>432000</v>
      </c>
    </row>
    <row r="8" spans="1:5">
      <c r="B8">
        <f>IFERROR(INDEX(E2:E4,MATCH(B2,D2:D4,0)),0.08)</f>
        <v>0.06</v>
      </c>
    </row>
    <row r="10" spans="1:5">
      <c r="A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Loan</vt:lpstr>
      <vt:lpstr>in_credit_score</vt:lpstr>
      <vt:lpstr>in_loan_amount</vt:lpstr>
      <vt:lpstr>in_term_months</vt:lpstr>
      <vt:lpstr>out_applied_rate</vt:lpstr>
      <vt:lpstr>out_credit_tier</vt:lpstr>
      <vt:lpstr>out_monthly_interest</vt:lpstr>
      <vt:lpstr>out_tier_rate</vt:lpstr>
      <vt:lpstr>out_total_interest</vt:lpstr>
      <vt:lpstr>pmcp_dialect_version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2026-06-15T08:47:57Z</dcterms:created>
  <dcterms:modified xsi:type="dcterms:W3CDTF">2026-06-15T08:47:57Z</dcterms:modified>
</cp:coreProperties>
</file>